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Gelir-gider" sheetId="2" state="visible" r:id="rId2"/>
  </sheets>
  <definedNames>
    <definedName name="_xlnm._FilterDatabase" localSheetId="1" hidden="1">'Gelir-gider'!$A$1:$T$20</definedName>
  </definedNames>
  <calcPr calcId="191028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;[Red]-#,##0;0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2"/>
      <scheme val="minor"/>
    </font>
    <font>
      <name val="Calibri"/>
      <b val="1"/>
      <color rgb="00FFFFFF"/>
      <sz val="10"/>
    </font>
    <font>
      <name val="Calibri"/>
      <color rgb="000B1F33"/>
      <sz val="10"/>
    </font>
    <font>
      <name val="Calibri"/>
      <b val="1"/>
      <color rgb="000B1F33"/>
      <sz val="10"/>
    </font>
    <font>
      <name val="Calibri"/>
      <color rgb="00064E3B"/>
      <sz val="10"/>
    </font>
    <font>
      <name val="Calibri"/>
      <b val="1"/>
      <color rgb="00064E3B"/>
      <sz val="10"/>
    </font>
    <font>
      <name val="Calibri"/>
      <color rgb="003A2A00"/>
      <sz val="10"/>
    </font>
    <font>
      <name val="Calibri"/>
      <b val="1"/>
      <color rgb="003A2A00"/>
      <sz val="10"/>
    </font>
    <font>
      <name val="Calibri"/>
      <b val="1"/>
      <color rgb="0017324D"/>
      <sz val="18"/>
    </font>
    <font>
      <name val="Calibri"/>
      <b val="1"/>
      <color rgb="000B1F33"/>
      <sz val="11"/>
    </font>
    <font>
      <name val="Calibri"/>
      <b val="1"/>
      <color rgb="0015803D"/>
      <sz val="12"/>
    </font>
    <font>
      <name val="Calibri"/>
      <b val="1"/>
      <color rgb="0092400E"/>
      <sz val="12"/>
    </font>
    <font>
      <name val="Calibri"/>
      <b val="1"/>
      <color rgb="001E6091"/>
      <sz val="12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4FF"/>
      </patternFill>
    </fill>
    <fill>
      <patternFill patternType="solid">
        <fgColor rgb="00F6FAFD"/>
      </patternFill>
    </fill>
    <fill>
      <patternFill patternType="solid">
        <fgColor rgb="00DDEBFA"/>
      </patternFill>
    </fill>
    <fill>
      <patternFill patternType="solid">
        <fgColor rgb="00DFF3E4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left style="thin">
        <color rgb="00D7E3EF"/>
      </left>
      <right style="thin">
        <color rgb="00D7E3EF"/>
      </right>
      <top style="medium">
        <color rgb="001E6091"/>
      </top>
      <bottom style="medium">
        <color rgb="001E6091"/>
      </bottom>
    </border>
    <border>
      <left style="thin">
        <color rgb="00D7E3EF"/>
      </left>
      <right style="thin">
        <color rgb="00D7E3EF"/>
      </right>
      <top style="thin">
        <color rgb="00D7E3EF"/>
      </top>
      <bottom style="thin">
        <color rgb="00D7E3E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164" fontId="12" fillId="6" borderId="2" applyAlignment="1" pivotButton="0" quotePrefix="0" xfId="0">
      <alignment horizontal="right" vertical="center"/>
    </xf>
    <xf numFmtId="0" fontId="11" fillId="7" borderId="2" applyAlignment="1" pivotButton="0" quotePrefix="0" xfId="0">
      <alignment horizontal="left" vertical="center"/>
    </xf>
    <xf numFmtId="164" fontId="13" fillId="7" borderId="2" applyAlignment="1" pivotButton="0" quotePrefix="0" xfId="0">
      <alignment horizontal="right" vertical="center"/>
    </xf>
    <xf numFmtId="0" fontId="11" fillId="3" borderId="2" applyAlignment="1" pivotButton="0" quotePrefix="0" xfId="0">
      <alignment horizontal="left" vertical="center"/>
    </xf>
    <xf numFmtId="164" fontId="14" fillId="3" borderId="2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164" fontId="0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164" fontId="6" fillId="6" borderId="2" applyAlignment="1" pivotButton="0" quotePrefix="0" xfId="0">
      <alignment horizontal="center" vertical="center"/>
    </xf>
    <xf numFmtId="164" fontId="8" fillId="7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</cellXfs>
  <cellStyles count="1">
    <cellStyle name="Normal" xfId="0" builtinId="0"/>
  </cellStyles>
  <dxfs count="29"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sz val="12"/>
      </font>
      <alignment horizont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center" vertical="bottom"/>
    </dxf>
    <dxf>
      <font>
        <b val="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00B42318"/>
      </font>
      <fill>
        <patternFill patternType="solid">
          <fgColor rgb="00F8D7DA"/>
        </patternFill>
      </fill>
    </dxf>
    <dxf>
      <font>
        <b val="1"/>
        <color rgb="0015803D"/>
      </font>
      <fill>
        <patternFill patternType="solid">
          <fgColor rgb="00DFF3E4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Aylik Gider ve Kalan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'Ozet'!D6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'Ozet'!$A$7:$A$20</f>
            </numRef>
          </cat>
          <val>
            <numRef>
              <f>'Ozet'!$D$7:$D$20</f>
            </numRef>
          </val>
        </ser>
        <ser>
          <idx val="1"/>
          <order val="1"/>
          <tx>
            <strRef>
              <f>'Ozet'!E6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'Ozet'!$A$7:$A$20</f>
            </numRef>
          </cat>
          <val>
            <numRef>
              <f>'Ozet'!$E$7:$E$20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Gelir Takibi</a:t>
            </a:r>
          </a:p>
        </rich>
      </tx>
    </title>
    <plotArea>
      <lineChart>
        <grouping val="standard"/>
        <ser>
          <idx val="0"/>
          <order val="0"/>
          <tx>
            <strRef>
              <f>'Ozet'!B6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'Ozet'!$A$7:$A$20</f>
            </numRef>
          </cat>
          <val>
            <numRef>
              <f>'Ozet'!$B$7:$B$20</f>
            </numRef>
          </val>
        </ser>
        <ser>
          <idx val="1"/>
          <order val="1"/>
          <tx>
            <strRef>
              <f>'Ozet'!C6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'Ozet'!$A$7:$A$20</f>
            </numRef>
          </cat>
          <val>
            <numRef>
              <f>'Ozet'!$C$7:$C$20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61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o1" displayName="Tablo1" ref="A1:T20" headerRowCount="1" totalsRowCount="1" totalsRowDxfId="24">
  <autoFilter ref="A1:T19"/>
  <tableColumns count="20">
    <tableColumn id="16" name="AY" totalsRowLabel="Toplam" dataDxfId="22" totalsRowDxfId="23"/>
    <tableColumn id="17" name="SONUÇ" dataDxfId="20" totalsRowDxfId="21">
      <calculatedColumnFormula>C1+C2</calculatedColumnFormula>
    </tableColumn>
    <tableColumn id="1" name="Elde Kalan" totalsRowFunction="custom" dataDxfId="18" totalsRowDxfId="19">
      <calculatedColumnFormula>Tablo1[[#This Row],[sena maaş]]-Tablo1[[#This Row],[GİDER]]+D2</calculatedColumnFormula>
      <totalsRowFormula>SUM(Tablo1[Elde Kalan])</totalsRowFormula>
    </tableColumn>
    <tableColumn id="14" name="Maaş" totalsRowDxfId="17"/>
    <tableColumn id="2" name="sena maaş" totalsRowFunction="custom" totalsRowDxfId="16">
      <totalsRowFormula>SUM(Tablo1[sena maaş])</totalsRowFormula>
    </tableColumn>
    <tableColumn id="3" name="GİDER" totalsRowFunction="custom" dataDxfId="14" totalsRowDxfId="15">
      <calculatedColumnFormula>Tablo1[[#This Row],[AYLIK HARCAMA]]+Tablo1[[#This Row],[Ziraat Ben]]+Tablo1[[#This Row],[Ziraat Sena]]+Tablo1[[#This Row],[yapı kredi]]+#REF!+Tablo1[[#This Row],[kuveyt]]+Tablo1[[#This Row],[Sütun1]]+Tablo1[[#This Row],[Sütun2]]+Tablo1[[#This Row],[anneler]]+Tablo1[[#This Row],[Dış borç]]+Tablo1[[#This Row],[aidat]]+Tablo1[[#This Row],[garanti]]</calculatedColumnFormula>
      <totalsRowFormula>SUM(Tablo1[GİDER])</totalsRowFormula>
    </tableColumn>
    <tableColumn id="4" name="AYLIK HARCAMA" totalsRowFunction="custom" totalsRowDxfId="13">
      <totalsRowFormula>SUM(Tablo1[AYLIK HARCAMA])</totalsRowFormula>
    </tableColumn>
    <tableColumn id="5" name="Ziraat Ben" totalsRowFunction="custom" totalsRowDxfId="12">
      <totalsRowFormula>SUM(Tablo1[Ziraat Ben])</totalsRowFormula>
    </tableColumn>
    <tableColumn id="15" name="Ziraat Sena" totalsRowFunction="custom" totalsRowDxfId="11">
      <totalsRowFormula>SUBTOTAL(109,I2:I19)</totalsRowFormula>
    </tableColumn>
    <tableColumn id="6" name="yapı kredi" totalsRowFunction="custom" totalsRowDxfId="10">
      <totalsRowFormula>SUM(Tablo1[yapı kredi])</totalsRowFormula>
    </tableColumn>
    <tableColumn id="18" name="garanti" totalsRowFunction="custom" totalsRowDxfId="9">
      <totalsRowFormula>SUM(Tablo1[garanti])</totalsRowFormula>
    </tableColumn>
    <tableColumn id="8" name="kuveyt" totalsRowFunction="custom" totalsRowDxfId="8">
      <totalsRowFormula>SUM(Tablo1[kuveyt])</totalsRowFormula>
    </tableColumn>
    <tableColumn id="9" name="Sütun1" totalsRowFunction="custom" totalsRowDxfId="7">
      <totalsRowFormula>SUM(Tablo1[Sütun1])</totalsRowFormula>
    </tableColumn>
    <tableColumn id="10" name="Sütun2" totalsRowFunction="custom" totalsRowDxfId="6">
      <totalsRowFormula>SUM(Tablo1[Sütun2])</totalsRowFormula>
    </tableColumn>
    <tableColumn id="11" name="anneler" totalsRowFunction="custom" totalsRowDxfId="5">
      <totalsRowFormula>SUM(Tablo1[anneler])</totalsRowFormula>
    </tableColumn>
    <tableColumn id="12" name="Dış borç" totalsRowDxfId="4"/>
    <tableColumn id="13" name="aidat" totalsRowFunction="custom" totalsRowDxfId="3">
      <totalsRowFormula>SUM(Tablo1[aidat])</totalsRowFormula>
    </tableColumn>
    <tableColumn id="22" name="Asm" totalsRowFunction="custom" totalsRowDxfId="2">
      <totalsRowFormula>SUBTOTAL(109,R2:R19)</totalsRowFormula>
    </tableColumn>
    <tableColumn id="7" name="Kira" totalsRowDxfId="1"/>
    <tableColumn id="19" name="babam2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style="1" min="1" max="1"/>
    <col width="14" customWidth="1" style="1" min="2" max="2"/>
    <col width="14" customWidth="1" style="1" min="3" max="3"/>
    <col width="15" customWidth="1" style="1" min="4" max="4"/>
    <col width="15" customWidth="1" style="1" min="5" max="5"/>
    <col width="2" customWidth="1" style="1" min="7" max="7"/>
    <col width="15" customWidth="1" style="1" min="8" max="8"/>
    <col width="15" customWidth="1" style="1" min="9" max="9"/>
  </cols>
  <sheetData>
    <row r="1" ht="30" customHeight="1" s="1">
      <c r="A1" s="6" t="inlineStr">
        <is>
          <t>Gelir - Gider Ozeti</t>
        </is>
      </c>
    </row>
    <row r="2" ht="22" customHeight="1" s="1">
      <c r="A2" s="7" t="inlineStr">
        <is>
          <t>Toplam Gelir</t>
        </is>
      </c>
      <c r="B2" s="8">
        <f>SUM('Gelir-gider'!D2:E19)</f>
        <v/>
      </c>
    </row>
    <row r="3" ht="22" customHeight="1" s="1">
      <c r="A3" s="9" t="inlineStr">
        <is>
          <t>Toplam Gider</t>
        </is>
      </c>
      <c r="B3" s="10">
        <f>'Gelir-gider'!F20</f>
        <v/>
      </c>
    </row>
    <row r="4" ht="22" customHeight="1" s="1">
      <c r="A4" s="11" t="inlineStr">
        <is>
          <t>Kalan / Sonuc</t>
        </is>
      </c>
      <c r="B4" s="12">
        <f>'Gelir-gider'!C20</f>
        <v/>
      </c>
    </row>
    <row r="5" ht="22" customHeight="1" s="1"/>
    <row r="6" ht="22" customHeight="1" s="1">
      <c r="A6" s="13" t="inlineStr">
        <is>
          <t>Ay</t>
        </is>
      </c>
      <c r="B6" s="13" t="inlineStr">
        <is>
          <t>Maas</t>
        </is>
      </c>
      <c r="C6" s="13" t="inlineStr">
        <is>
          <t>Sena Maas</t>
        </is>
      </c>
      <c r="D6" s="13" t="inlineStr">
        <is>
          <t>Toplam Gider</t>
        </is>
      </c>
      <c r="E6" s="13" t="inlineStr">
        <is>
          <t>Elde Kalan</t>
        </is>
      </c>
    </row>
    <row r="7" ht="22" customHeight="1" s="1">
      <c r="A7" s="14">
        <f>'Gelir-gider'!A9</f>
        <v/>
      </c>
      <c r="B7" s="15">
        <f>'Gelir-gider'!D9</f>
        <v/>
      </c>
      <c r="C7" s="15">
        <f>'Gelir-gider'!E9</f>
        <v/>
      </c>
      <c r="D7" s="15">
        <f>'Gelir-gider'!F9</f>
        <v/>
      </c>
      <c r="E7" s="15">
        <f>'Gelir-gider'!C9</f>
        <v/>
      </c>
    </row>
    <row r="8" ht="22" customHeight="1" s="1">
      <c r="A8" s="16">
        <f>'Gelir-gider'!A10</f>
        <v/>
      </c>
      <c r="B8" s="17">
        <f>'Gelir-gider'!D10</f>
        <v/>
      </c>
      <c r="C8" s="17">
        <f>'Gelir-gider'!E10</f>
        <v/>
      </c>
      <c r="D8" s="17">
        <f>'Gelir-gider'!F10</f>
        <v/>
      </c>
      <c r="E8" s="17">
        <f>'Gelir-gider'!C10</f>
        <v/>
      </c>
    </row>
    <row r="9" ht="22" customHeight="1" s="1">
      <c r="A9" s="14">
        <f>'Gelir-gider'!A11</f>
        <v/>
      </c>
      <c r="B9" s="15">
        <f>'Gelir-gider'!D11</f>
        <v/>
      </c>
      <c r="C9" s="15">
        <f>'Gelir-gider'!E11</f>
        <v/>
      </c>
      <c r="D9" s="15">
        <f>'Gelir-gider'!F11</f>
        <v/>
      </c>
      <c r="E9" s="15">
        <f>'Gelir-gider'!C11</f>
        <v/>
      </c>
    </row>
    <row r="10" ht="22" customHeight="1" s="1">
      <c r="A10" s="16">
        <f>'Gelir-gider'!A12</f>
        <v/>
      </c>
      <c r="B10" s="17">
        <f>'Gelir-gider'!D12</f>
        <v/>
      </c>
      <c r="C10" s="17">
        <f>'Gelir-gider'!E12</f>
        <v/>
      </c>
      <c r="D10" s="17">
        <f>'Gelir-gider'!F12</f>
        <v/>
      </c>
      <c r="E10" s="17">
        <f>'Gelir-gider'!C12</f>
        <v/>
      </c>
    </row>
    <row r="11" ht="22" customHeight="1" s="1">
      <c r="A11" s="14">
        <f>'Gelir-gider'!A13</f>
        <v/>
      </c>
      <c r="B11" s="15">
        <f>'Gelir-gider'!D13</f>
        <v/>
      </c>
      <c r="C11" s="15">
        <f>'Gelir-gider'!E13</f>
        <v/>
      </c>
      <c r="D11" s="15">
        <f>'Gelir-gider'!F13</f>
        <v/>
      </c>
      <c r="E11" s="15">
        <f>'Gelir-gider'!C13</f>
        <v/>
      </c>
    </row>
    <row r="12" ht="22" customHeight="1" s="1">
      <c r="A12" s="16">
        <f>'Gelir-gider'!A14</f>
        <v/>
      </c>
      <c r="B12" s="17">
        <f>'Gelir-gider'!D14</f>
        <v/>
      </c>
      <c r="C12" s="17">
        <f>'Gelir-gider'!E14</f>
        <v/>
      </c>
      <c r="D12" s="17">
        <f>'Gelir-gider'!F14</f>
        <v/>
      </c>
      <c r="E12" s="17">
        <f>'Gelir-gider'!C14</f>
        <v/>
      </c>
    </row>
    <row r="13" ht="22" customHeight="1" s="1">
      <c r="A13" s="14">
        <f>'Gelir-gider'!A15</f>
        <v/>
      </c>
      <c r="B13" s="15">
        <f>'Gelir-gider'!D15</f>
        <v/>
      </c>
      <c r="C13" s="15">
        <f>'Gelir-gider'!E15</f>
        <v/>
      </c>
      <c r="D13" s="15">
        <f>'Gelir-gider'!F15</f>
        <v/>
      </c>
      <c r="E13" s="15">
        <f>'Gelir-gider'!C15</f>
        <v/>
      </c>
    </row>
    <row r="14" ht="22" customHeight="1" s="1">
      <c r="A14" s="16">
        <f>'Gelir-gider'!A16</f>
        <v/>
      </c>
      <c r="B14" s="17">
        <f>'Gelir-gider'!D16</f>
        <v/>
      </c>
      <c r="C14" s="17">
        <f>'Gelir-gider'!E16</f>
        <v/>
      </c>
      <c r="D14" s="17">
        <f>'Gelir-gider'!F16</f>
        <v/>
      </c>
      <c r="E14" s="17">
        <f>'Gelir-gider'!C16</f>
        <v/>
      </c>
    </row>
    <row r="15" ht="22" customHeight="1" s="1">
      <c r="A15" s="14">
        <f>'Gelir-gider'!A17</f>
        <v/>
      </c>
      <c r="B15" s="15">
        <f>'Gelir-gider'!D17</f>
        <v/>
      </c>
      <c r="C15" s="15">
        <f>'Gelir-gider'!E17</f>
        <v/>
      </c>
      <c r="D15" s="15">
        <f>'Gelir-gider'!F17</f>
        <v/>
      </c>
      <c r="E15" s="15">
        <f>'Gelir-gider'!C17</f>
        <v/>
      </c>
    </row>
    <row r="16" ht="22" customHeight="1" s="1">
      <c r="A16" s="16">
        <f>'Gelir-gider'!A18</f>
        <v/>
      </c>
      <c r="B16" s="17">
        <f>'Gelir-gider'!D18</f>
        <v/>
      </c>
      <c r="C16" s="17">
        <f>'Gelir-gider'!E18</f>
        <v/>
      </c>
      <c r="D16" s="17">
        <f>'Gelir-gider'!F18</f>
        <v/>
      </c>
      <c r="E16" s="17">
        <f>'Gelir-gider'!C18</f>
        <v/>
      </c>
    </row>
    <row r="17" ht="22" customHeight="1" s="1">
      <c r="A17" s="14" t="n"/>
      <c r="B17" s="15" t="n"/>
      <c r="C17" s="15" t="n"/>
      <c r="D17" s="15" t="n"/>
      <c r="E17" s="15" t="n"/>
    </row>
    <row r="18" ht="22" customHeight="1" s="1">
      <c r="A18" s="16" t="n"/>
      <c r="B18" s="17" t="n"/>
      <c r="C18" s="17" t="n"/>
      <c r="D18" s="17" t="n"/>
      <c r="E18" s="17" t="n"/>
    </row>
    <row r="19" ht="22" customHeight="1" s="1">
      <c r="A19" s="14" t="n"/>
      <c r="B19" s="15" t="n"/>
      <c r="C19" s="15" t="n"/>
      <c r="D19" s="15" t="n"/>
      <c r="E19" s="15" t="n"/>
    </row>
    <row r="20" ht="22" customHeight="1" s="1">
      <c r="A20" s="16" t="n"/>
      <c r="B20" s="17" t="n"/>
      <c r="C20" s="17" t="n"/>
      <c r="D20" s="17" t="n"/>
      <c r="E20" s="17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0"/>
  <sheetViews>
    <sheetView showGridLines="0" tabSelected="1" topLeftCell="G1" workbookViewId="0">
      <pane ySplit="1" topLeftCell="A2" activePane="bottomLeft" state="frozen"/>
      <selection pane="bottomLeft" activeCell="F26" sqref="F26"/>
    </sheetView>
  </sheetViews>
  <sheetFormatPr baseColWidth="8" defaultRowHeight="16.5"/>
  <cols>
    <col width="12" customWidth="1" style="5" min="1" max="1"/>
    <col width="15" customWidth="1" style="1" min="2" max="2"/>
    <col width="15" customWidth="1" style="1" min="3" max="3"/>
    <col width="13" customWidth="1" style="1" min="4" max="4"/>
    <col width="13" customWidth="1" style="1" min="5" max="5"/>
    <col width="14" customWidth="1" style="1" min="6" max="6"/>
    <col width="15" customWidth="1" style="1" min="7" max="7"/>
    <col width="13" customWidth="1" style="1" min="8" max="8"/>
    <col width="13" customWidth="1" style="1" min="9" max="9"/>
    <col width="13" customWidth="1" style="1" min="10" max="10"/>
    <col width="12" customWidth="1" style="1" min="11" max="11"/>
    <col width="12" customWidth="1" style="1" min="12" max="13"/>
    <col width="12" customWidth="1" style="1" min="13" max="13"/>
    <col width="12" customWidth="1" style="1" min="14" max="14"/>
    <col width="12" customWidth="1" style="1" min="15" max="15"/>
    <col width="12" customWidth="1" style="1" min="16" max="16"/>
    <col width="11" customWidth="1" style="1" min="17" max="17"/>
    <col width="10" customWidth="1" style="1" min="18" max="18"/>
    <col width="11" customWidth="1" style="1" min="19" max="19"/>
    <col width="13" customWidth="1" style="1" min="20" max="20"/>
  </cols>
  <sheetData>
    <row r="1" ht="34" customHeight="1" s="1">
      <c r="A1" s="18" t="inlineStr">
        <is>
          <t>AY</t>
        </is>
      </c>
      <c r="B1" s="18" t="inlineStr">
        <is>
          <t>SONU?</t>
        </is>
      </c>
      <c r="C1" s="18" t="inlineStr">
        <is>
          <t>Elde Kalan</t>
        </is>
      </c>
      <c r="D1" s="18" t="inlineStr">
        <is>
          <t>Maa?</t>
        </is>
      </c>
      <c r="E1" s="18" t="inlineStr">
        <is>
          <t>Sena Maa?</t>
        </is>
      </c>
      <c r="F1" s="18" t="inlineStr">
        <is>
          <t>G?DER</t>
        </is>
      </c>
      <c r="G1" s="18" t="inlineStr">
        <is>
          <t>AYLIK HARCAMA</t>
        </is>
      </c>
      <c r="H1" s="18" t="inlineStr">
        <is>
          <t>Ziraat Ben</t>
        </is>
      </c>
      <c r="I1" s="18" t="inlineStr">
        <is>
          <t>Ziraat Sena</t>
        </is>
      </c>
      <c r="J1" s="18" t="inlineStr">
        <is>
          <t>Yap? Kredi</t>
        </is>
      </c>
      <c r="K1" s="18" t="inlineStr">
        <is>
          <t>Garanti</t>
        </is>
      </c>
      <c r="L1" s="18" t="inlineStr">
        <is>
          <t>Kuveyt</t>
        </is>
      </c>
      <c r="M1" s="18" t="inlineStr">
        <is>
          <t>S?tun1</t>
        </is>
      </c>
      <c r="N1" s="18" t="inlineStr">
        <is>
          <t>S?tun2</t>
        </is>
      </c>
      <c r="O1" s="18" t="inlineStr">
        <is>
          <t>Anneler</t>
        </is>
      </c>
      <c r="P1" s="18" t="inlineStr">
        <is>
          <t>D?? Bor?</t>
        </is>
      </c>
      <c r="Q1" s="18" t="inlineStr">
        <is>
          <t>Aidat</t>
        </is>
      </c>
      <c r="R1" s="18" t="inlineStr">
        <is>
          <t>Asm</t>
        </is>
      </c>
      <c r="S1" s="18" t="inlineStr">
        <is>
          <t>Kira</t>
        </is>
      </c>
      <c r="T1" s="18" t="inlineStr">
        <is>
          <t>Babam</t>
        </is>
      </c>
    </row>
    <row r="2" ht="22" customHeight="1" s="1">
      <c r="A2" s="19" t="n"/>
      <c r="B2" s="20">
        <f>SUM($C$2:C2)</f>
        <v/>
      </c>
      <c r="C2" s="20">
        <f>D2+E2-F2</f>
        <v/>
      </c>
      <c r="D2" s="21" t="n"/>
      <c r="E2" s="21" t="n"/>
      <c r="F2" s="22">
        <f>SUM(G2:T2)</f>
        <v/>
      </c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</row>
    <row r="3" ht="22" customHeight="1" s="1">
      <c r="A3" s="23" t="n"/>
      <c r="B3" s="24">
        <f>SUM($C$2:C3)</f>
        <v/>
      </c>
      <c r="C3" s="24">
        <f>D3+E3-F3</f>
        <v/>
      </c>
      <c r="D3" s="21" t="n"/>
      <c r="E3" s="21" t="n"/>
      <c r="F3" s="22">
        <f>SUM(G3:T3)</f>
        <v/>
      </c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</row>
    <row r="4" ht="22" customHeight="1" s="1">
      <c r="A4" s="19" t="n"/>
      <c r="B4" s="20">
        <f>SUM($C$2:C4)</f>
        <v/>
      </c>
      <c r="C4" s="20">
        <f>D4+E4-F4</f>
        <v/>
      </c>
      <c r="D4" s="21" t="n"/>
      <c r="E4" s="21" t="n"/>
      <c r="F4" s="22">
        <f>SUM(G4:T4)</f>
        <v/>
      </c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</row>
    <row r="5" ht="22" customHeight="1" s="1">
      <c r="A5" s="23" t="n"/>
      <c r="B5" s="24">
        <f>SUM($C$2:C5)</f>
        <v/>
      </c>
      <c r="C5" s="24">
        <f>D5+E5-F5</f>
        <v/>
      </c>
      <c r="D5" s="21" t="n"/>
      <c r="E5" s="21" t="n"/>
      <c r="F5" s="22">
        <f>SUM(G5:T5)</f>
        <v/>
      </c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</row>
    <row r="6" ht="22" customHeight="1" s="1">
      <c r="A6" s="19" t="n"/>
      <c r="B6" s="20">
        <f>SUM($C$2:C6)</f>
        <v/>
      </c>
      <c r="C6" s="20">
        <f>D6+E6-F6</f>
        <v/>
      </c>
      <c r="D6" s="21" t="n"/>
      <c r="E6" s="21" t="n"/>
      <c r="F6" s="22">
        <f>SUM(G6:T6)</f>
        <v/>
      </c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</row>
    <row r="7" ht="22" customHeight="1" s="1">
      <c r="A7" s="23" t="n"/>
      <c r="B7" s="24">
        <f>SUM($C$2:C7)</f>
        <v/>
      </c>
      <c r="C7" s="24">
        <f>D7+E7-F7</f>
        <v/>
      </c>
      <c r="D7" s="21" t="n"/>
      <c r="E7" s="21" t="n"/>
      <c r="F7" s="22">
        <f>SUM(G7:T7)</f>
        <v/>
      </c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</row>
    <row r="8" ht="22" customHeight="1" s="1">
      <c r="A8" s="19" t="n"/>
      <c r="B8" s="20">
        <f>SUM($C$2:C8)</f>
        <v/>
      </c>
      <c r="C8" s="20">
        <f>D8+E8-F8</f>
        <v/>
      </c>
      <c r="D8" s="21" t="n"/>
      <c r="E8" s="21" t="n"/>
      <c r="F8" s="22">
        <f>SUM(G8:T8)</f>
        <v/>
      </c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</row>
    <row r="9" ht="22" customHeight="1" s="1">
      <c r="A9" s="23" t="inlineStr">
        <is>
          <t>May?s</t>
        </is>
      </c>
      <c r="B9" s="24">
        <f>SUM($C$2:C9)</f>
        <v/>
      </c>
      <c r="C9" s="24">
        <f>D9+E9-F9</f>
        <v/>
      </c>
      <c r="D9" s="21" t="n"/>
      <c r="E9" s="21" t="n"/>
      <c r="F9" s="22">
        <f>SUM(G9:T9)</f>
        <v/>
      </c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</row>
    <row r="10" ht="22" customHeight="1" s="1">
      <c r="A10" s="19" t="inlineStr">
        <is>
          <t>Haziran</t>
        </is>
      </c>
      <c r="B10" s="20">
        <f>SUM($C$2:C10)</f>
        <v/>
      </c>
      <c r="C10" s="20">
        <f>D10+E10-F10</f>
        <v/>
      </c>
      <c r="D10" s="21" t="n">
        <v>140000</v>
      </c>
      <c r="E10" s="21" t="n"/>
      <c r="F10" s="22">
        <f>SUM(G10:T10)</f>
        <v/>
      </c>
      <c r="G10" s="22" t="n">
        <v>22500</v>
      </c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</row>
    <row r="11" ht="22" customHeight="1" s="1">
      <c r="A11" s="23" t="inlineStr">
        <is>
          <t>Temmuz</t>
        </is>
      </c>
      <c r="B11" s="24">
        <f>SUM($C$2:C11)</f>
        <v/>
      </c>
      <c r="C11" s="24">
        <f>D11+E11-F11</f>
        <v/>
      </c>
      <c r="D11" s="21" t="n">
        <v>189000</v>
      </c>
      <c r="E11" s="21" t="n">
        <v>125000</v>
      </c>
      <c r="F11" s="22">
        <f>SUM(G11:T11)</f>
        <v/>
      </c>
      <c r="G11" s="22" t="n">
        <v>43500</v>
      </c>
      <c r="H11" s="22" t="n">
        <v>51000</v>
      </c>
      <c r="I11" s="22" t="n">
        <v>10000</v>
      </c>
      <c r="J11" s="22" t="n">
        <v>45000</v>
      </c>
      <c r="K11" s="22" t="n"/>
      <c r="L11" s="22" t="n"/>
      <c r="M11" s="22" t="n"/>
      <c r="N11" s="22" t="n"/>
      <c r="O11" s="22" t="n"/>
      <c r="P11" s="22" t="n"/>
      <c r="Q11" s="22" t="n"/>
      <c r="R11" s="22" t="n">
        <v>11000</v>
      </c>
      <c r="S11" s="22" t="n">
        <v>53000</v>
      </c>
      <c r="T11" s="22" t="n">
        <v>83333</v>
      </c>
    </row>
    <row r="12" ht="22" customHeight="1" s="1">
      <c r="A12" s="19" t="inlineStr">
        <is>
          <t>A?ustos</t>
        </is>
      </c>
      <c r="B12" s="20">
        <f>SUM($C$2:C12)</f>
        <v/>
      </c>
      <c r="C12" s="20">
        <f>D12+E12-F12</f>
        <v/>
      </c>
      <c r="D12" s="21" t="n">
        <v>217000</v>
      </c>
      <c r="E12" s="21" t="n">
        <v>190000</v>
      </c>
      <c r="F12" s="22">
        <f>SUM(G12:T12)</f>
        <v/>
      </c>
      <c r="G12" s="22" t="n">
        <v>70000</v>
      </c>
      <c r="H12" s="22" t="n">
        <v>7000</v>
      </c>
      <c r="I12" s="22" t="n">
        <v>10000</v>
      </c>
      <c r="J12" s="22" t="n">
        <v>25000</v>
      </c>
      <c r="K12" s="22" t="n">
        <v>4042</v>
      </c>
      <c r="L12" s="22" t="n"/>
      <c r="M12" s="22" t="n"/>
      <c r="N12" s="22" t="n"/>
      <c r="O12" s="22" t="n"/>
      <c r="P12" s="22" t="n"/>
      <c r="Q12" s="22" t="n">
        <v>4500</v>
      </c>
      <c r="R12" s="22" t="n">
        <v>11000</v>
      </c>
      <c r="S12" s="22" t="n">
        <v>53000</v>
      </c>
      <c r="T12" s="22" t="n">
        <v>83333</v>
      </c>
    </row>
    <row r="13" ht="22" customHeight="1" s="1">
      <c r="A13" s="23" t="inlineStr">
        <is>
          <t>Eyl?l</t>
        </is>
      </c>
      <c r="B13" s="24">
        <f>SUM($C$2:C13)</f>
        <v/>
      </c>
      <c r="C13" s="24">
        <f>D13+E13-F13</f>
        <v/>
      </c>
      <c r="D13" s="21" t="n">
        <v>235000</v>
      </c>
      <c r="E13" s="21" t="n">
        <v>170000</v>
      </c>
      <c r="F13" s="22">
        <f>SUM(G13:T13)</f>
        <v/>
      </c>
      <c r="G13" s="22" t="n">
        <v>70000</v>
      </c>
      <c r="H13" s="22" t="n">
        <v>6000</v>
      </c>
      <c r="I13" s="22" t="n">
        <v>10000</v>
      </c>
      <c r="J13" s="22" t="n">
        <v>16000</v>
      </c>
      <c r="K13" s="22" t="n">
        <v>2100</v>
      </c>
      <c r="L13" s="22" t="n"/>
      <c r="M13" s="22" t="n"/>
      <c r="N13" s="22" t="n">
        <v>250000</v>
      </c>
      <c r="O13" s="22" t="n"/>
      <c r="P13" s="22" t="n"/>
      <c r="Q13" s="22" t="n">
        <v>4500</v>
      </c>
      <c r="R13" s="22" t="n">
        <v>11000</v>
      </c>
      <c r="S13" s="22" t="n">
        <v>53000</v>
      </c>
      <c r="T13" s="22" t="n">
        <v>83333</v>
      </c>
    </row>
    <row r="14" ht="22" customHeight="1" s="1">
      <c r="A14" s="19" t="inlineStr">
        <is>
          <t>Ekim</t>
        </is>
      </c>
      <c r="B14" s="20">
        <f>SUM($C$2:C14)</f>
        <v/>
      </c>
      <c r="C14" s="20">
        <f>D14+E14-F14</f>
        <v/>
      </c>
      <c r="D14" s="21" t="n">
        <v>234000</v>
      </c>
      <c r="E14" s="21" t="n">
        <v>160000</v>
      </c>
      <c r="F14" s="22">
        <f>SUM(G14:T14)</f>
        <v/>
      </c>
      <c r="G14" s="22" t="n">
        <v>30000</v>
      </c>
      <c r="H14" s="22" t="n"/>
      <c r="I14" s="22" t="n">
        <v>10000</v>
      </c>
      <c r="J14" s="22" t="n">
        <v>11000</v>
      </c>
      <c r="K14" s="22" t="n">
        <v>2100</v>
      </c>
      <c r="L14" s="22" t="n"/>
      <c r="M14" s="22" t="n"/>
      <c r="N14" s="22" t="n"/>
      <c r="O14" s="22" t="n"/>
      <c r="P14" s="22" t="n"/>
      <c r="Q14" s="22" t="n">
        <v>4500</v>
      </c>
      <c r="R14" s="22" t="n">
        <v>11000</v>
      </c>
      <c r="S14" s="22" t="n">
        <v>53000</v>
      </c>
      <c r="T14" s="22" t="n">
        <v>83333</v>
      </c>
    </row>
    <row r="15" ht="22" customHeight="1" s="1">
      <c r="A15" s="23" t="inlineStr">
        <is>
          <t>Kas?m</t>
        </is>
      </c>
      <c r="B15" s="24">
        <f>SUM($C$2:C15)</f>
        <v/>
      </c>
      <c r="C15" s="24">
        <f>D15+E15-F15</f>
        <v/>
      </c>
      <c r="D15" s="21" t="n">
        <v>235000</v>
      </c>
      <c r="E15" s="21" t="n">
        <v>160000</v>
      </c>
      <c r="F15" s="22">
        <f>SUM(G15:T15)</f>
        <v/>
      </c>
      <c r="G15" s="22" t="n">
        <v>70000</v>
      </c>
      <c r="H15" s="22" t="n"/>
      <c r="I15" s="22" t="n">
        <v>10000</v>
      </c>
      <c r="J15" s="22" t="n">
        <v>11000</v>
      </c>
      <c r="K15" s="22" t="n">
        <v>2100</v>
      </c>
      <c r="L15" s="22" t="n"/>
      <c r="M15" s="22" t="n"/>
      <c r="N15" s="22" t="n"/>
      <c r="O15" s="22" t="n">
        <v>130000</v>
      </c>
      <c r="P15" s="22" t="n"/>
      <c r="Q15" s="22" t="n">
        <v>8000</v>
      </c>
      <c r="R15" s="22" t="n">
        <v>11000</v>
      </c>
      <c r="S15" s="22" t="n">
        <v>65000</v>
      </c>
      <c r="T15" s="22" t="n">
        <v>222500</v>
      </c>
    </row>
    <row r="16" ht="22" customHeight="1" s="1">
      <c r="A16" s="19" t="inlineStr">
        <is>
          <t>Aral?k</t>
        </is>
      </c>
      <c r="B16" s="20">
        <f>SUM($C$2:C16)</f>
        <v/>
      </c>
      <c r="C16" s="20">
        <f>D16+E16-F16</f>
        <v/>
      </c>
      <c r="D16" s="21" t="n">
        <v>218000</v>
      </c>
      <c r="E16" s="21" t="n">
        <v>160000</v>
      </c>
      <c r="F16" s="22">
        <f>SUM(G16:T16)</f>
        <v/>
      </c>
      <c r="G16" s="22" t="n">
        <v>70000</v>
      </c>
      <c r="H16" s="22" t="n"/>
      <c r="I16" s="22" t="n">
        <v>10000</v>
      </c>
      <c r="J16" s="22" t="n">
        <v>2500</v>
      </c>
      <c r="K16" s="22" t="n">
        <v>2100</v>
      </c>
      <c r="L16" s="22" t="n"/>
      <c r="M16" s="22" t="n"/>
      <c r="N16" s="22" t="n"/>
      <c r="O16" s="22" t="n"/>
      <c r="P16" s="22" t="n"/>
      <c r="Q16" s="22" t="n">
        <v>9000</v>
      </c>
      <c r="R16" s="22" t="n">
        <v>11000</v>
      </c>
      <c r="S16" s="22" t="n">
        <v>65000</v>
      </c>
      <c r="T16" s="22" t="n"/>
    </row>
    <row r="17" ht="22" customHeight="1" s="1">
      <c r="A17" s="23" t="inlineStr">
        <is>
          <t>Ocak</t>
        </is>
      </c>
      <c r="B17" s="24">
        <f>SUM($C$2:C17)</f>
        <v/>
      </c>
      <c r="C17" s="24">
        <f>D17+E17-F17</f>
        <v/>
      </c>
      <c r="D17" s="21" t="n">
        <v>265000</v>
      </c>
      <c r="E17" s="21" t="n">
        <v>190000</v>
      </c>
      <c r="F17" s="22">
        <f>SUM(G17:T17)</f>
        <v/>
      </c>
      <c r="G17" s="22" t="n">
        <v>70000</v>
      </c>
      <c r="H17" s="22" t="n"/>
      <c r="I17" s="22" t="n">
        <v>10000</v>
      </c>
      <c r="J17" s="22" t="n">
        <v>2500</v>
      </c>
      <c r="K17" s="22" t="n"/>
      <c r="L17" s="22" t="n"/>
      <c r="M17" s="22" t="n"/>
      <c r="N17" s="22" t="n"/>
      <c r="O17" s="22" t="n"/>
      <c r="P17" s="22" t="n"/>
      <c r="Q17" s="22" t="n">
        <v>10000</v>
      </c>
      <c r="R17" s="22" t="n">
        <v>12500</v>
      </c>
      <c r="S17" s="22" t="n">
        <v>65000</v>
      </c>
      <c r="T17" s="22" t="n"/>
    </row>
    <row r="18" ht="22" customHeight="1" s="1">
      <c r="A18" s="19" t="inlineStr">
        <is>
          <t>?ubat</t>
        </is>
      </c>
      <c r="B18" s="20">
        <f>SUM($C$2:C18)</f>
        <v/>
      </c>
      <c r="C18" s="20">
        <f>D18+E18-F18</f>
        <v/>
      </c>
      <c r="D18" s="21" t="n">
        <v>290000</v>
      </c>
      <c r="E18" s="21" t="n">
        <v>190000</v>
      </c>
      <c r="F18" s="22">
        <f>SUM(G18:T18)</f>
        <v/>
      </c>
      <c r="G18" s="22" t="n">
        <v>70000</v>
      </c>
      <c r="H18" s="22" t="n"/>
      <c r="I18" s="22" t="n">
        <v>10000</v>
      </c>
      <c r="J18" s="22" t="n">
        <v>2500</v>
      </c>
      <c r="K18" s="22" t="n"/>
      <c r="L18" s="22" t="n"/>
      <c r="M18" s="22" t="n"/>
      <c r="N18" s="22" t="n"/>
      <c r="O18" s="22" t="n"/>
      <c r="P18" s="22" t="n"/>
      <c r="Q18" s="22" t="n">
        <v>10000</v>
      </c>
      <c r="R18" s="22" t="n">
        <v>12500</v>
      </c>
      <c r="S18" s="22" t="n">
        <v>65000</v>
      </c>
      <c r="T18" s="22" t="n"/>
    </row>
    <row r="19" ht="22" customHeight="1" s="1">
      <c r="A19" s="23" t="n"/>
      <c r="B19" s="24">
        <f>SUM($C$2:C19)</f>
        <v/>
      </c>
      <c r="C19" s="24">
        <f>D19+E19-F19</f>
        <v/>
      </c>
      <c r="D19" s="21" t="n"/>
      <c r="E19" s="21" t="n"/>
      <c r="F19" s="22">
        <f>SUM(G19:T19)</f>
        <v/>
      </c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</row>
    <row r="20" ht="25" customHeight="1" s="1">
      <c r="A20" s="25" t="inlineStr">
        <is>
          <t>Toplam</t>
        </is>
      </c>
      <c r="B20" s="26" t="n"/>
      <c r="C20" s="26">
        <f>SUM(C2:C19)</f>
        <v/>
      </c>
      <c r="D20" s="27" t="n"/>
      <c r="E20" s="27">
        <f>SUM(E2:E19)</f>
        <v/>
      </c>
      <c r="F20" s="28">
        <f>SUM(F2:F19)</f>
        <v/>
      </c>
      <c r="G20" s="28">
        <f>SUM(G2:G19)</f>
        <v/>
      </c>
      <c r="H20" s="28">
        <f>SUM(H2:H19)</f>
        <v/>
      </c>
      <c r="I20" s="28">
        <f>SUM(I2:I19)</f>
        <v/>
      </c>
      <c r="J20" s="28">
        <f>SUM(J2:J19)</f>
        <v/>
      </c>
      <c r="K20" s="28">
        <f>SUM(K2:K19)</f>
        <v/>
      </c>
      <c r="L20" s="28">
        <f>SUM(L2:L19)</f>
        <v/>
      </c>
      <c r="M20" s="28">
        <f>SUM(M2:M19)</f>
        <v/>
      </c>
      <c r="N20" s="28">
        <f>SUM(N2:N19)</f>
        <v/>
      </c>
      <c r="O20" s="28">
        <f>SUM(O2:O19)</f>
        <v/>
      </c>
      <c r="P20" s="28" t="n"/>
      <c r="Q20" s="28">
        <f>SUM(Q2:Q19)</f>
        <v/>
      </c>
      <c r="R20" s="28">
        <f>SUM(R2:R19)</f>
        <v/>
      </c>
      <c r="S20" s="28" t="n"/>
      <c r="T20" s="28" t="n"/>
    </row>
  </sheetData>
  <autoFilter ref="A1:T20"/>
  <conditionalFormatting sqref="C1:D1048576">
    <cfRule type="cellIs" priority="1" operator="lessThan" dxfId="26">
      <formula>0</formula>
    </cfRule>
    <cfRule type="cellIs" priority="2" operator="greaterThan" dxfId="25">
      <formula>0</formula>
    </cfRule>
  </conditionalFormatting>
  <conditionalFormatting sqref="B2:C20">
    <cfRule type="cellIs" priority="3" operator="lessThan" dxfId="27" stopIfTrue="0">
      <formula>0</formula>
    </cfRule>
    <cfRule type="cellIs" priority="4" operator="greaterThanOrEqual" dxfId="28" stopIfTrue="0">
      <formula>0</formula>
    </cfRule>
  </conditionalFormatting>
  <conditionalFormatting sqref="F2:G19">
    <cfRule type="dataBar" priority="5">
      <dataBar showValue="1">
        <cfvo type="num" val="0"/>
        <cfvo type="max"/>
        <color rgb="00F59E0B"/>
      </dataBar>
    </cfRule>
  </conditionalFormatting>
  <pageMargins left="0.25" right="0.25" top="0.5" bottom="0.5" header="0.3" footer="0.3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Gelir Gider Takibi</dc:title>
  <dc:subject xmlns:dc="http://purl.org/dc/elements/1.1/">Guzellestirilmis gelir gider tablosu</dc:subject>
  <dcterms:created xmlns:dcterms="http://purl.org/dc/terms/" xmlns:xsi="http://www.w3.org/2001/XMLSchema-instance" xsi:type="dcterms:W3CDTF">2025-02-18T15:25:31Z</dcterms:created>
  <dcterms:modified xmlns:dcterms="http://purl.org/dc/terms/" xmlns:xsi="http://www.w3.org/2001/XMLSchema-instance" xsi:type="dcterms:W3CDTF">2026-06-30T13:43:28Z</dcterms:modified>
</cp:coreProperties>
</file>