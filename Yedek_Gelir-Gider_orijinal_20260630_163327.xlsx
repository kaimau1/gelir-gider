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Gelir-gide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dxfs count="27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sz val="12"/>
      </font>
      <alignment horizont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b val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o1" displayName="Tablo1" ref="A1:T20" headerRowCount="1" totalsRowCount="1" totalsRowDxfId="24">
  <autoFilter ref="A1:T19"/>
  <tableColumns count="20">
    <tableColumn id="16" name="AY" totalsRowLabel="Toplam" dataDxfId="22" totalsRowDxfId="23"/>
    <tableColumn id="17" name="SONUÇ" dataDxfId="20" totalsRowDxfId="21">
      <calculatedColumnFormula>C1+C2</calculatedColumnFormula>
    </tableColumn>
    <tableColumn id="1" name="Elde Kalan" totalsRowFunction="custom" dataDxfId="18" totalsRowDxfId="19">
      <calculatedColumnFormula>Tablo1[[#This Row],[sena maaş]]-Tablo1[[#This Row],[GİDER]]+D2</calculatedColumnFormula>
      <totalsRowFormula>SUM(Tablo1[Elde Kalan])</totalsRowFormula>
    </tableColumn>
    <tableColumn id="14" name="Maaş" totalsRowDxfId="17"/>
    <tableColumn id="2" name="sena maaş" totalsRowFunction="custom" totalsRowDxfId="16">
      <totalsRowFormula>SUM(Tablo1[sena maaş])</totalsRowFormula>
    </tableColumn>
    <tableColumn id="3" name="GİDER" totalsRowFunction="custom" dataDxfId="14" totalsRowDxfId="15">
      <calculatedColumnFormula>Tablo1[[#This Row],[AYLIK HARCAMA]]+Tablo1[[#This Row],[Ziraat Ben]]+Tablo1[[#This Row],[Ziraat Sena]]+Tablo1[[#This Row],[yapı kredi]]+#REF!+Tablo1[[#This Row],[kuveyt]]+Tablo1[[#This Row],[Sütun1]]+Tablo1[[#This Row],[Sütun2]]+Tablo1[[#This Row],[anneler]]+Tablo1[[#This Row],[Dış borç]]+Tablo1[[#This Row],[aidat]]+Tablo1[[#This Row],[garanti]]</calculatedColumnFormula>
      <totalsRowFormula>SUM(Tablo1[GİDER])</totalsRowFormula>
    </tableColumn>
    <tableColumn id="4" name="AYLIK HARCAMA" totalsRowFunction="custom" totalsRowDxfId="13">
      <totalsRowFormula>SUM(Tablo1[AYLIK HARCAMA])</totalsRowFormula>
    </tableColumn>
    <tableColumn id="5" name="Ziraat Ben" totalsRowFunction="custom" totalsRowDxfId="12">
      <totalsRowFormula>SUM(Tablo1[Ziraat Ben])</totalsRowFormula>
    </tableColumn>
    <tableColumn id="15" name="Ziraat Sena" totalsRowFunction="custom" totalsRowDxfId="11">
      <totalsRowFormula>SUBTOTAL(109,I2:I19)</totalsRowFormula>
    </tableColumn>
    <tableColumn id="6" name="yapı kredi" totalsRowFunction="custom" totalsRowDxfId="10">
      <totalsRowFormula>SUM(Tablo1[yapı kredi])</totalsRowFormula>
    </tableColumn>
    <tableColumn id="18" name="garanti" totalsRowFunction="custom" totalsRowDxfId="9">
      <totalsRowFormula>SUM(Tablo1[garanti])</totalsRowFormula>
    </tableColumn>
    <tableColumn id="8" name="kuveyt" totalsRowFunction="custom" totalsRowDxfId="8">
      <totalsRowFormula>SUM(Tablo1[kuveyt])</totalsRowFormula>
    </tableColumn>
    <tableColumn id="9" name="Sütun1" totalsRowFunction="custom" totalsRowDxfId="7">
      <totalsRowFormula>SUM(Tablo1[Sütun1])</totalsRowFormula>
    </tableColumn>
    <tableColumn id="10" name="Sütun2" totalsRowFunction="custom" totalsRowDxfId="6">
      <totalsRowFormula>SUM(Tablo1[Sütun2])</totalsRowFormula>
    </tableColumn>
    <tableColumn id="11" name="anneler" totalsRowFunction="custom" totalsRowDxfId="5">
      <totalsRowFormula>SUM(Tablo1[anneler])</totalsRowFormula>
    </tableColumn>
    <tableColumn id="12" name="Dış borç" totalsRowDxfId="4"/>
    <tableColumn id="13" name="aidat" totalsRowFunction="custom" totalsRowDxfId="3">
      <totalsRowFormula>SUM(Tablo1[aidat])</totalsRowFormula>
    </tableColumn>
    <tableColumn id="22" name="Asm" totalsRowFunction="custom" totalsRowDxfId="2">
      <totalsRowFormula>SUBTOTAL(109,R2:R19)</totalsRowFormula>
    </tableColumn>
    <tableColumn id="7" name="Kira" totalsRowDxfId="1"/>
    <tableColumn id="19" name="babam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tabSelected="1" topLeftCell="G1" workbookViewId="0">
      <selection activeCell="F26" sqref="F26"/>
    </sheetView>
  </sheetViews>
  <sheetFormatPr baseColWidth="8" defaultRowHeight="16.5"/>
  <cols>
    <col width="7.5703125" customWidth="1" style="5" min="1" max="1"/>
    <col width="9.28515625" customWidth="1" style="1" min="2" max="2"/>
    <col width="9" customWidth="1" style="1" min="3" max="3"/>
    <col width="8" customWidth="1" style="1" min="4" max="4"/>
    <col width="8.28515625" customWidth="1" style="1" min="5" max="5"/>
    <col width="9.7109375" customWidth="1" style="1" min="6" max="6"/>
    <col width="10.28515625" customWidth="1" style="1" min="8" max="8"/>
    <col width="6.85546875" customWidth="1" style="1" min="9" max="9"/>
    <col width="7.28515625" customWidth="1" style="1" min="10" max="10"/>
    <col width="7.5703125" customWidth="1" style="1" min="11" max="11"/>
    <col width="8.85546875" customWidth="1" style="1" min="12" max="13"/>
    <col width="10.140625" customWidth="1" style="1" min="14" max="14"/>
    <col width="8.28515625" customWidth="1" style="1" min="15" max="15"/>
    <col width="7.85546875" customWidth="1" style="1" min="16" max="16"/>
    <col width="7.42578125" customWidth="1" style="1" min="17" max="17"/>
    <col width="9.28515625" customWidth="1" style="1" min="18" max="18"/>
  </cols>
  <sheetData>
    <row r="1">
      <c r="A1" s="5" t="inlineStr">
        <is>
          <t>AY</t>
        </is>
      </c>
      <c r="B1" t="inlineStr">
        <is>
          <t>SONUÇ</t>
        </is>
      </c>
      <c r="C1" t="inlineStr">
        <is>
          <t>Elde Kalan</t>
        </is>
      </c>
      <c r="D1" t="inlineStr">
        <is>
          <t>Maaş</t>
        </is>
      </c>
      <c r="E1" t="inlineStr">
        <is>
          <t>sena maaş</t>
        </is>
      </c>
      <c r="F1" t="inlineStr">
        <is>
          <t>GİDER</t>
        </is>
      </c>
      <c r="G1" t="inlineStr">
        <is>
          <t>AYLIK HARCAMA</t>
        </is>
      </c>
      <c r="H1" t="inlineStr">
        <is>
          <t>Ziraat Ben</t>
        </is>
      </c>
      <c r="I1" t="inlineStr">
        <is>
          <t>Ziraat Sena</t>
        </is>
      </c>
      <c r="J1" t="inlineStr">
        <is>
          <t>yapı kredi</t>
        </is>
      </c>
      <c r="K1" t="inlineStr">
        <is>
          <t>garanti</t>
        </is>
      </c>
      <c r="L1" t="inlineStr">
        <is>
          <t>kuveyt</t>
        </is>
      </c>
      <c r="M1" s="4" t="inlineStr">
        <is>
          <t>Sütun1</t>
        </is>
      </c>
      <c r="N1" t="inlineStr">
        <is>
          <t>Sütun2</t>
        </is>
      </c>
      <c r="O1" t="inlineStr">
        <is>
          <t>anneler</t>
        </is>
      </c>
      <c r="P1" s="4" t="inlineStr">
        <is>
          <t>Dış borç</t>
        </is>
      </c>
      <c r="Q1" t="inlineStr">
        <is>
          <t>aidat</t>
        </is>
      </c>
      <c r="R1" t="inlineStr">
        <is>
          <t>Asm</t>
        </is>
      </c>
      <c r="S1" t="inlineStr">
        <is>
          <t>Kira</t>
        </is>
      </c>
      <c r="T1" t="inlineStr">
        <is>
          <t>babam2</t>
        </is>
      </c>
    </row>
    <row r="2">
      <c r="B2">
        <f>C2</f>
        <v/>
      </c>
      <c r="C2">
        <f>Tablo1[[#This Row],[sena maaş]]-Tablo1[[#This Row],[GİDER]]+D2</f>
        <v/>
      </c>
      <c r="F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3">
      <c r="B3">
        <f>C2+C3</f>
        <v/>
      </c>
      <c r="C3">
        <f>Tablo1[[#This Row],[sena maaş]]-Tablo1[[#This Row],[GİDER]]+D3</f>
        <v/>
      </c>
      <c r="F3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4">
      <c r="B4">
        <f>C3+C4+C2</f>
        <v/>
      </c>
      <c r="C4">
        <f>Tablo1[[#This Row],[sena maaş]]-Tablo1[[#This Row],[GİDER]]+D4</f>
        <v/>
      </c>
      <c r="F4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5">
      <c r="A5" s="5" t="inlineStr">
        <is>
          <t>Ocak</t>
        </is>
      </c>
      <c r="B5">
        <f>C4+C5+C3+C2</f>
        <v/>
      </c>
      <c r="C5">
        <f>Tablo1[[#This Row],[sena maaş]]-Tablo1[[#This Row],[GİDER]]+D5</f>
        <v/>
      </c>
      <c r="F5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6">
      <c r="A6" s="5" t="inlineStr">
        <is>
          <t>Şubat</t>
        </is>
      </c>
      <c r="B6">
        <f>C5+C6+C4+C2+C3</f>
        <v/>
      </c>
      <c r="C6">
        <f>Tablo1[[#This Row],[sena maaş]]-Tablo1[[#This Row],[GİDER]]+D6</f>
        <v/>
      </c>
      <c r="F6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7">
      <c r="A7" s="5" t="inlineStr">
        <is>
          <t>Mart</t>
        </is>
      </c>
      <c r="B7">
        <f>C6+C7+C5+C4+C3+C2</f>
        <v/>
      </c>
      <c r="C7">
        <f>Tablo1[[#This Row],[sena maaş]]-Tablo1[[#This Row],[GİDER]]+D7</f>
        <v/>
      </c>
      <c r="F7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8">
      <c r="A8" s="5" t="inlineStr">
        <is>
          <t>Nisan</t>
        </is>
      </c>
      <c r="B8">
        <f>C7+C8+C6+C5+C4+C3+C2</f>
        <v/>
      </c>
      <c r="C8">
        <f>Tablo1[[#This Row],[sena maaş]]-Tablo1[[#This Row],[GİDER]]+D8</f>
        <v/>
      </c>
      <c r="F8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9">
      <c r="A9" s="5" t="inlineStr">
        <is>
          <t>Mayıs</t>
        </is>
      </c>
      <c r="B9">
        <f>C8+C9+C7+C6+C5+C4+C2+C3</f>
        <v/>
      </c>
      <c r="C9">
        <f>Tablo1[[#This Row],[sena maaş]]-Tablo1[[#This Row],[GİDER]]+D9</f>
        <v/>
      </c>
      <c r="D9" t="n">
        <v>80000</v>
      </c>
      <c r="E9" t="n">
        <v>40000</v>
      </c>
      <c r="F9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O9" t="n">
        <v>50000</v>
      </c>
    </row>
    <row r="10">
      <c r="A10" s="5" t="inlineStr">
        <is>
          <t>Haziran</t>
        </is>
      </c>
      <c r="B10">
        <f>C9+C10+C8+C7+C6+C5+C4+C3+C2</f>
        <v/>
      </c>
      <c r="C10">
        <f>Tablo1[[#This Row],[sena maaş]]-Tablo1[[#This Row],[GİDER]]+D10</f>
        <v/>
      </c>
      <c r="D10" t="n">
        <v>224000</v>
      </c>
      <c r="E10" t="n">
        <v>160000</v>
      </c>
      <c r="F10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0" t="n">
        <v>70000</v>
      </c>
      <c r="H10" t="n">
        <v>6000</v>
      </c>
      <c r="J10" t="n">
        <v>27300</v>
      </c>
      <c r="K10" t="n">
        <v>3576</v>
      </c>
      <c r="O10" t="n">
        <v>50000</v>
      </c>
      <c r="Q10" t="n">
        <v>4500</v>
      </c>
      <c r="R10" t="n">
        <v>11000</v>
      </c>
      <c r="S10" t="n">
        <v>53000</v>
      </c>
      <c r="T10" t="n">
        <v>83333</v>
      </c>
    </row>
    <row r="11">
      <c r="A11" s="5" t="inlineStr">
        <is>
          <t>Temmuz</t>
        </is>
      </c>
      <c r="B11">
        <f>C10+C11+C9+C8+C7+C6+C5+C4+C3+C2</f>
        <v/>
      </c>
      <c r="C11">
        <f>Tablo1[[#This Row],[sena maaş]]-Tablo1[[#This Row],[GİDER]]+D11</f>
        <v/>
      </c>
      <c r="D11" t="n">
        <v>224000</v>
      </c>
      <c r="E11" t="n">
        <v>160000</v>
      </c>
      <c r="F11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1" t="n">
        <v>70000</v>
      </c>
      <c r="H11" t="n">
        <v>6000</v>
      </c>
      <c r="J11" t="n">
        <v>25300</v>
      </c>
      <c r="K11" t="n">
        <v>3576</v>
      </c>
      <c r="O11" t="n">
        <v>50000</v>
      </c>
      <c r="Q11" t="n">
        <v>4500</v>
      </c>
      <c r="R11" t="n">
        <v>11000</v>
      </c>
      <c r="S11" t="n">
        <v>53000</v>
      </c>
      <c r="T11" t="n">
        <v>83333</v>
      </c>
    </row>
    <row r="12">
      <c r="A12" s="5" t="inlineStr">
        <is>
          <t>Ağustos</t>
        </is>
      </c>
      <c r="B12">
        <f>C11+C12+C10+C9+C8+C7+C6+C5+C4+C3+C2</f>
        <v/>
      </c>
      <c r="C12">
        <f>Tablo1[[#This Row],[sena maaş]]-Tablo1[[#This Row],[GİDER]]+D12</f>
        <v/>
      </c>
      <c r="D12" t="n">
        <v>218000</v>
      </c>
      <c r="E12" t="n">
        <v>150000</v>
      </c>
      <c r="F1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2" t="n">
        <v>70000</v>
      </c>
      <c r="H12" t="n">
        <v>3000</v>
      </c>
      <c r="J12" t="n">
        <v>19000</v>
      </c>
      <c r="K12" t="n">
        <v>1742</v>
      </c>
      <c r="O12" t="n">
        <v>50000</v>
      </c>
      <c r="Q12" t="n">
        <v>4500</v>
      </c>
      <c r="R12" t="n">
        <v>11000</v>
      </c>
      <c r="S12" t="n">
        <v>53000</v>
      </c>
      <c r="T12" t="n">
        <v>83333</v>
      </c>
    </row>
    <row r="13">
      <c r="A13" s="5" t="inlineStr">
        <is>
          <t>Eylül</t>
        </is>
      </c>
      <c r="B13">
        <f>C12+C13+C11+C10+C9+C8+C7+C6+C5+C4+C3+C2</f>
        <v/>
      </c>
      <c r="C13">
        <f>Tablo1[[#This Row],[sena maaş]]-Tablo1[[#This Row],[GİDER]]+D13</f>
        <v/>
      </c>
      <c r="D13" t="n">
        <v>218000</v>
      </c>
      <c r="E13" t="n">
        <v>150000</v>
      </c>
      <c r="F13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3" t="n">
        <v>70000</v>
      </c>
      <c r="H13" t="n">
        <v>3000</v>
      </c>
      <c r="J13" t="n">
        <v>12000</v>
      </c>
      <c r="O13" t="n">
        <v>50000</v>
      </c>
      <c r="Q13" t="n">
        <v>4500</v>
      </c>
      <c r="R13" t="n">
        <v>11000</v>
      </c>
      <c r="S13" t="n">
        <v>53000</v>
      </c>
      <c r="T13" t="n">
        <v>83333</v>
      </c>
    </row>
    <row r="14">
      <c r="A14" s="5" t="inlineStr">
        <is>
          <t>Ekim</t>
        </is>
      </c>
      <c r="B14">
        <f>C13+C14+C12+C11+C10+C9+C8+C7+C6+C5+C4+C3+C2</f>
        <v/>
      </c>
      <c r="C14">
        <f>Tablo1[[#This Row],[sena maaş]]-Tablo1[[#This Row],[GİDER]]+D14</f>
        <v/>
      </c>
      <c r="D14" t="n">
        <v>224000</v>
      </c>
      <c r="E14" t="n">
        <v>150000</v>
      </c>
      <c r="F14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4" t="n">
        <v>40000</v>
      </c>
      <c r="J14" t="n">
        <v>9000</v>
      </c>
      <c r="O14" t="n">
        <v>50000</v>
      </c>
      <c r="Q14" t="n">
        <v>4500</v>
      </c>
      <c r="R14" t="n">
        <v>11000</v>
      </c>
      <c r="S14" t="n">
        <v>53000</v>
      </c>
      <c r="T14" t="n">
        <v>83333</v>
      </c>
    </row>
    <row r="15">
      <c r="A15" s="5" t="inlineStr">
        <is>
          <t>Kasım</t>
        </is>
      </c>
      <c r="B15">
        <f>C14+C15+C13+C12+C11+C10+C9+C8+C7+C6+C5+C4+C3+C2</f>
        <v/>
      </c>
      <c r="C15">
        <f>Tablo1[[#This Row],[sena maaş]]-Tablo1[[#This Row],[GİDER]]+D15</f>
        <v/>
      </c>
      <c r="D15" t="n">
        <v>224000</v>
      </c>
      <c r="E15" t="n">
        <v>142000</v>
      </c>
      <c r="F15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5" t="n">
        <v>70000</v>
      </c>
      <c r="J15" t="n">
        <v>9000</v>
      </c>
      <c r="Q15" t="n">
        <v>8000</v>
      </c>
      <c r="R15" t="n">
        <v>11000</v>
      </c>
      <c r="S15" t="n">
        <v>65000</v>
      </c>
      <c r="T15" t="n">
        <v>83333</v>
      </c>
    </row>
    <row r="16">
      <c r="A16" s="5" t="inlineStr">
        <is>
          <t>Aralık</t>
        </is>
      </c>
      <c r="B16">
        <f>C15+C16+C14+C13+C12+C11+C10+C9+C8+C7+C6+C5+C4+C3+C2</f>
        <v/>
      </c>
      <c r="C16">
        <f>Tablo1[[#This Row],[sena maaş]]-Tablo1[[#This Row],[GİDER]]+D16</f>
        <v/>
      </c>
      <c r="D16" t="n">
        <v>218000</v>
      </c>
      <c r="E16" t="n">
        <v>142000</v>
      </c>
      <c r="F16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6" t="n">
        <v>70000</v>
      </c>
      <c r="Q16" t="n">
        <v>9000</v>
      </c>
      <c r="R16" t="n">
        <v>11000</v>
      </c>
      <c r="S16" t="n">
        <v>65000</v>
      </c>
      <c r="T16" t="n">
        <v>83333</v>
      </c>
    </row>
    <row r="17">
      <c r="A17" s="5" t="inlineStr">
        <is>
          <t>Ocak</t>
        </is>
      </c>
      <c r="B17">
        <f>C16+C17+C15+C14+C13+C12+C11+C10+C9+C8+C7+C6+C5+C4+C3+C2</f>
        <v/>
      </c>
      <c r="C17">
        <f>Tablo1[[#This Row],[sena maaş]]-Tablo1[[#This Row],[GİDER]]+D17</f>
        <v/>
      </c>
      <c r="D17" t="n">
        <v>260000</v>
      </c>
      <c r="E17" t="n">
        <v>180000</v>
      </c>
      <c r="F17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7" t="n">
        <v>70000</v>
      </c>
      <c r="Q17" t="n">
        <v>10000</v>
      </c>
      <c r="R17" t="n">
        <v>12500</v>
      </c>
      <c r="S17" t="n">
        <v>65000</v>
      </c>
      <c r="T17" t="n">
        <v>53337</v>
      </c>
    </row>
    <row r="18">
      <c r="A18" s="5" t="inlineStr">
        <is>
          <t>Şubat</t>
        </is>
      </c>
      <c r="B18">
        <f>C17+C18+C16+C15+C14+C13+C12+C11+C10+C9+C8+C7+C6+C5+C4+C3+C2</f>
        <v/>
      </c>
      <c r="C18">
        <f>Tablo1[[#This Row],[sena maaş]]-Tablo1[[#This Row],[GİDER]]+D18</f>
        <v/>
      </c>
      <c r="D18" t="n">
        <v>280000</v>
      </c>
      <c r="E18" t="n">
        <v>180000</v>
      </c>
      <c r="F18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8" t="n">
        <v>70000</v>
      </c>
      <c r="Q18" t="n">
        <v>10000</v>
      </c>
      <c r="R18" t="n">
        <v>12500</v>
      </c>
      <c r="S18" t="n">
        <v>65000</v>
      </c>
    </row>
    <row r="19">
      <c r="C19">
        <f>Tablo1[[#This Row],[sena maaş]]-Tablo1[[#This Row],[GİDER]]+D19</f>
        <v/>
      </c>
      <c r="F19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</row>
    <row r="20">
      <c r="A20" s="5" t="inlineStr">
        <is>
          <t>Toplam</t>
        </is>
      </c>
      <c r="B20" s="3" t="n"/>
      <c r="C20" s="3">
        <f>SUM(Tablo1[Elde Kalan])</f>
        <v/>
      </c>
      <c r="D20" s="3" t="n"/>
      <c r="E20" s="3">
        <f>SUM(Tablo1[sena maaş])</f>
        <v/>
      </c>
      <c r="F20" s="3">
        <f>SUM(Tablo1[GİDER])</f>
        <v/>
      </c>
      <c r="G20" s="3">
        <f>SUM(Tablo1[AYLIK HARCAMA])</f>
        <v/>
      </c>
      <c r="H20" s="3">
        <f>SUM(Tablo1[Ziraat Ben])</f>
        <v/>
      </c>
      <c r="I20" s="3">
        <f>SUBTOTAL(109,I2:I19)</f>
        <v/>
      </c>
      <c r="J20" s="3">
        <f>SUM(Tablo1[yapı kredi])</f>
        <v/>
      </c>
      <c r="K20" s="3">
        <f>SUM(Tablo1[garanti])</f>
        <v/>
      </c>
      <c r="L20" s="3">
        <f>SUM(Tablo1[kuveyt])</f>
        <v/>
      </c>
      <c r="M20" s="3">
        <f>SUM(Tablo1[Sütun1])</f>
        <v/>
      </c>
      <c r="N20" s="3">
        <f>SUM(Tablo1[Sütun2])</f>
        <v/>
      </c>
      <c r="O20" s="3">
        <f>SUM(Tablo1[anneler])</f>
        <v/>
      </c>
      <c r="P20" s="3" t="n"/>
      <c r="Q20" s="3">
        <f>SUM(Tablo1[aidat])</f>
        <v/>
      </c>
      <c r="R20" s="3">
        <f>SUBTOTAL(109,R2:R19)</f>
        <v/>
      </c>
      <c r="S20" s="3" t="n"/>
      <c r="T20" s="3" t="n"/>
    </row>
  </sheetData>
  <conditionalFormatting sqref="C1:D1048576">
    <cfRule type="cellIs" priority="1" operator="lessThan" dxfId="26">
      <formula>0</formula>
    </cfRule>
    <cfRule type="cellIs" priority="2" operator="greaterThan" dxfId="25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2025-02-18T15:25:31Z</dcterms:created>
  <dcterms:modified xmlns:dcterms="http://purl.org/dc/terms/" xmlns:xsi="http://www.w3.org/2001/XMLSchema-instance" xsi:type="dcterms:W3CDTF">2026-06-30T13:33:27Z</dcterms:modified>
</cp:coreProperties>
</file>